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d3ee9d6c356765/Facultad/14vo Cuatrimestre/2026_2C_PF_GenesysRoboticHand_Galindrez-Grassi/Documentación/"/>
    </mc:Choice>
  </mc:AlternateContent>
  <xr:revisionPtr revIDLastSave="270" documentId="13_ncr:1_{20DAA459-3967-4EBB-9D0F-2B9D0B6CF10E}" xr6:coauthVersionLast="47" xr6:coauthVersionMax="47" xr10:uidLastSave="{8AF8FBC1-6ECC-4BAB-BAF5-81677D094DD1}"/>
  <bookViews>
    <workbookView xWindow="28680" yWindow="-120" windowWidth="29040" windowHeight="15840" xr2:uid="{CF8D16FB-75F0-4AF8-A0B9-2B3A678551D6}"/>
  </bookViews>
  <sheets>
    <sheet name="Lista de materiales" sheetId="1" r:id="rId1"/>
    <sheet name="Herramient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5" i="1" l="1"/>
  <c r="J21" i="1"/>
  <c r="I21" i="1"/>
  <c r="I20" i="1"/>
  <c r="J20" i="1" s="1"/>
  <c r="I19" i="1"/>
  <c r="J19" i="1" s="1"/>
  <c r="I22" i="1"/>
  <c r="J22" i="1" s="1"/>
  <c r="I23" i="1"/>
  <c r="J23" i="1" s="1"/>
  <c r="I12" i="1"/>
  <c r="J12" i="1" s="1"/>
  <c r="I13" i="1"/>
  <c r="J13" i="1" s="1"/>
  <c r="I25" i="1"/>
  <c r="J25" i="1" s="1"/>
  <c r="F18" i="1"/>
  <c r="F26" i="1" s="1"/>
  <c r="I9" i="1"/>
  <c r="J9" i="1" s="1"/>
  <c r="I24" i="1"/>
  <c r="J24" i="1" s="1"/>
  <c r="L26" i="1"/>
  <c r="I4" i="1"/>
  <c r="J4" i="1" s="1"/>
  <c r="I5" i="1"/>
  <c r="J5" i="1" s="1"/>
  <c r="I6" i="1"/>
  <c r="J6" i="1" s="1"/>
  <c r="I7" i="1"/>
  <c r="J7" i="1" s="1"/>
  <c r="I8" i="1"/>
  <c r="J8" i="1" s="1"/>
  <c r="I10" i="1"/>
  <c r="J10" i="1" s="1"/>
  <c r="I11" i="1"/>
  <c r="J11" i="1" s="1"/>
  <c r="I14" i="1"/>
  <c r="J14" i="1" s="1"/>
  <c r="I16" i="1"/>
  <c r="J16" i="1" s="1"/>
  <c r="I17" i="1"/>
  <c r="J17" i="1" s="1"/>
  <c r="I18" i="1"/>
  <c r="J18" i="1" s="1"/>
  <c r="I3" i="1"/>
  <c r="J3" i="1" s="1"/>
  <c r="J26" i="1" s="1"/>
  <c r="F5" i="1"/>
  <c r="I26" i="1" l="1"/>
</calcChain>
</file>

<file path=xl/sharedStrings.xml><?xml version="1.0" encoding="utf-8"?>
<sst xmlns="http://schemas.openxmlformats.org/spreadsheetml/2006/main" count="129" uniqueCount="113">
  <si>
    <t>LISTA DE MATERIALES</t>
  </si>
  <si>
    <t>Item</t>
  </si>
  <si>
    <t>Cantidad</t>
  </si>
  <si>
    <t>Marca</t>
  </si>
  <si>
    <t>modelo</t>
  </si>
  <si>
    <t>Material</t>
  </si>
  <si>
    <t>peso (gr)</t>
  </si>
  <si>
    <t>Dimensiones (mm)</t>
  </si>
  <si>
    <t>Precio unit(ARS)</t>
  </si>
  <si>
    <t>Precio total</t>
  </si>
  <si>
    <t>Servomotor dedos</t>
  </si>
  <si>
    <t>Towerpro</t>
  </si>
  <si>
    <t>Mini Servo Mg90s</t>
  </si>
  <si>
    <t>Plastico y metal</t>
  </si>
  <si>
    <t>31 x 11 x 31</t>
  </si>
  <si>
    <t>https://www.mercadolibre.com.ar/mini-servo-mg90s-18kg-torque-desarrollo-domotica/up/MLAU132173611#polycard_client=recommendations_pdp-v2p&amp;reco_backend=ranker_retrieval_online_vpp_v2p&amp;reco_model=coldstart_low_exposition&amp;reco_client=pdp-v2p&amp;reco_item_pos=1&amp;reco_backend_type=low_level&amp;reco_id=f1265352-5a3d-40b6-97e7-f8e78d83e0d2&amp;wid=MLA818533077&amp;sid=recos</t>
  </si>
  <si>
    <t>Plastico</t>
  </si>
  <si>
    <t>Sensores flex (x 5)</t>
  </si>
  <si>
    <t>Generico</t>
  </si>
  <si>
    <t>ABS</t>
  </si>
  <si>
    <t>80 x 50 x 50</t>
  </si>
  <si>
    <t>https://www.mercadolibre.com.ar/sensor-de-flexion-5x-de-22-pulgadas-para-manipulador-electr/p/MLA2073926990?pdp_filters=item_id:MLA2558058784&amp;sid=purchases</t>
  </si>
  <si>
    <t>Guante</t>
  </si>
  <si>
    <t>Soga Cabo Dyneema 2 mm</t>
  </si>
  <si>
    <t>Dyneema</t>
  </si>
  <si>
    <t>Spectron 2 mm</t>
  </si>
  <si>
    <t>2x L necesario</t>
  </si>
  <si>
    <t>https://www.mercadolibre.com.ar/cuerda-soga-cabo-dyneema-spectron-2mm-pre-estirado-nautico/up/MLAU2570316529#polycard_client=search-desktop&amp;be_origin=backend&amp;overlay_label=not_apply&amp;search_layout=grid&amp;position=1&amp;type=product&amp;tracking_id=c7f707f6-bb2f-4238-9349-f662d2541884&amp;wid=MLA1944731320&amp;sid=search</t>
  </si>
  <si>
    <t>Microcontrolador mano</t>
  </si>
  <si>
    <t>ESP32</t>
  </si>
  <si>
    <t>PCB</t>
  </si>
  <si>
    <t>28 x 55 x 12</t>
  </si>
  <si>
    <t>https://www.mercadolibre.com.ar/nodemcu-esp32-38-pines-usb-c-wifi-bluetooth-placa-desarrollo-iot-compatible-arduino/p/MLA42485623?pdp_filters=item_id:MLA1962630270#polycard_client=recommendations_vip-pads-right&amp;wid=MLA1962630270&amp;sid=recos&amp;reco_backend=pads_ranker_entity_v2_retrieval_system_vip_pads_up&amp;reco_model=fallback_productos-promocionados&amp;reco_client=vip-pads-right&amp;reco_item_pos=0&amp;reco_backend_type=low_level&amp;reco_id=7f744700-a38c-43fd-b3fd-2268197b12e2&amp;is_advertising=true&amp;ad_domain=VIPCORE_RIGHT&amp;ad_position=1&amp;ad_click_id=ZmNjMWY2ODEtZGZjYS00NzU2LWFjY2ItNDU4YjRkZmIxYzE5</t>
  </si>
  <si>
    <t>Microcontrolador guante</t>
  </si>
  <si>
    <t>ESP32-C3 SuperMini</t>
  </si>
  <si>
    <t>22,7 x 18 x 11</t>
  </si>
  <si>
    <t>https://www.mercadolibre.com.ar/nodemcu-esp32-c3-supermini-wifi-bluetooth-50-usb-c-iot-16-pines-compatible-arduino/p/MLA61634225#polycard_client=search-desktop&amp;be_origin=backend&amp;overlay_label=not_apply&amp;search_layout=grid&amp;position=1&amp;type=product&amp;tracking_id=ed0be97f-0c39-45ed-a2ef-c12844845d1e&amp;wid=MLA2529309136&amp;sid=search</t>
  </si>
  <si>
    <t>Controlador de servos</t>
  </si>
  <si>
    <t>PCA9685</t>
  </si>
  <si>
    <t>62,5 x 25,4 x 12</t>
  </si>
  <si>
    <t>https://www.mercadolibre.com.ar/controlador-servos-16-canales-i2c-pca9685-pwm-arduino-candy/up/MLAU270638199#polycard_client=search-desktop&amp;be_origin=backend&amp;overlay_label=not_apply&amp;search_layout=grid&amp;position=5&amp;type=product&amp;tracking_id=31bd9f6f-895f-48a1-ad2e-dace4dd81418&amp;wid=MLA732101732&amp;sid=search</t>
  </si>
  <si>
    <t>Batería LiPo</t>
  </si>
  <si>
    <t>Tornillos y tuercas</t>
  </si>
  <si>
    <t xml:space="preserve">Fuente alimentacion </t>
  </si>
  <si>
    <t>Rodamientos MR106 zz</t>
  </si>
  <si>
    <t>MR 106</t>
  </si>
  <si>
    <t>6x10x3</t>
  </si>
  <si>
    <t>https://www.mercadolibre.com.ar/ruleman-mr-106-zz-6x10x3-x40-unidades-ms-rodamientos/up/MLAU258016962#polycard_client=search-desktop&amp;be_origin=backend&amp;overlay_label=not_apply&amp;search_layout=grid&amp;position=4&amp;type=product&amp;tracking_id=14f5bd5c-69ab-4c25-bb31-1ec8ffe1d15d&amp;wid=MLA658347977&amp;sid=search</t>
  </si>
  <si>
    <t>Total</t>
  </si>
  <si>
    <t>Herramientas</t>
  </si>
  <si>
    <t>Impresora 3D</t>
  </si>
  <si>
    <t>Soldador</t>
  </si>
  <si>
    <t>Multímetro</t>
  </si>
  <si>
    <t>Destornillador</t>
  </si>
  <si>
    <t>Cinta aisladora</t>
  </si>
  <si>
    <t>Fuente alimentacion</t>
  </si>
  <si>
    <t>Pinza</t>
  </si>
  <si>
    <t>Alicate</t>
  </si>
  <si>
    <t>Pegamento</t>
  </si>
  <si>
    <t>Resistencias</t>
  </si>
  <si>
    <t>Ads1115</t>
  </si>
  <si>
    <t>https://www.mercadolibre.com.ar/ads1115-adc-16-bit-conversor-ad-4-canales-arduino/p/MLA2038776439?pdp_filters=item_id:MLA2654161456&amp;sid=purchases</t>
  </si>
  <si>
    <t>30 x 18 x 3</t>
  </si>
  <si>
    <t>https://www.mercadolibre.com.ar/servo-digital-dsservo-ds3225-para-coche-25-kg-metal-gear-h/p/MLA2059431731?pdp_filters=item_id:MLA1747190597&amp;sid=purchases</t>
  </si>
  <si>
    <t xml:space="preserve"> Dsservo Ds3225</t>
  </si>
  <si>
    <t>40 x 20 x 40,5</t>
  </si>
  <si>
    <t>Servomotor muñeca y base (x2)</t>
  </si>
  <si>
    <t>Potenciometro</t>
  </si>
  <si>
    <t xml:space="preserve"> Wh148</t>
  </si>
  <si>
    <t>WL</t>
  </si>
  <si>
    <t>Metal</t>
  </si>
  <si>
    <t>https://www.mercadolibre.com.ar/potenciometro-10k-ohms-lineal-pote-15mm-wh148-b10k-nubbeo/up/MLAU231232513?pdp_filters=item_id:MLA770743716#polycard_client=cart_list&amp;wid=MLA770743716&amp;sid=cart</t>
  </si>
  <si>
    <t xml:space="preserve">25 x 17 x 17 </t>
  </si>
  <si>
    <t>Multiplexor</t>
  </si>
  <si>
    <t>CD74hc4067</t>
  </si>
  <si>
    <t>OEM</t>
  </si>
  <si>
    <t>18 x 41</t>
  </si>
  <si>
    <t>https://www.mercadolibre.com.ar/multiplexor-analogico-16-canales-74hc4067/up/MLAU397549426#polycard_client=recommendations_pdp-p2p&amp;reco_backend=ranker_compl&amp;reco_model=rk_ctr_v1_retsys_comple_tpt&amp;reco_client=pdp-p2p&amp;reco_item_pos=0&amp;reco_backend_type=low_level&amp;reco_id=c897dc69-3fc8-4c4d-82e0-008478e66f9f&amp;wid=MLA1829673904&amp;sid=recos</t>
  </si>
  <si>
    <t>Placa experimental</t>
  </si>
  <si>
    <t>Full electronica</t>
  </si>
  <si>
    <t>ELEPRINT</t>
  </si>
  <si>
    <t>PE-44</t>
  </si>
  <si>
    <t>15 x 10</t>
  </si>
  <si>
    <t>Litio</t>
  </si>
  <si>
    <t>43 x 25 x 9</t>
  </si>
  <si>
    <t>https://www.mercadolibre.com.ar/bateria-lipo-con-cable-jst-ph-37v-500mah/p/MLA2098680796?pdp_filters=item_id:MLA1119398648&amp;sid=purchases</t>
  </si>
  <si>
    <t xml:space="preserve"> Li-Poly</t>
  </si>
  <si>
    <t>Fuente Step Up</t>
  </si>
  <si>
    <t>MT3608</t>
  </si>
  <si>
    <t>Candy-Ho</t>
  </si>
  <si>
    <t>Modulo cargador de bateria de litio</t>
  </si>
  <si>
    <t>https://www.mercadolibre.com.ar/fuente-regulable-step-up-mt3608-para-arduino-y-microcontroladores/p/MLA46722580?pdp_filters=item_id:MLA1787209829&amp;sid=purchases</t>
  </si>
  <si>
    <t>https://www.mercadolibre.com.ar/modulo-cargador-bateria-litio-37v-usb-c-con-proteccion/p/MLA2087758453?pdp_filters=item_id:MLA1935627769&amp;sid=purchases</t>
  </si>
  <si>
    <t>CPNT-E</t>
  </si>
  <si>
    <t>17,9 x 13</t>
  </si>
  <si>
    <t>OMYTECH</t>
  </si>
  <si>
    <t>Capacitor</t>
  </si>
  <si>
    <t>0,2 x 0,13</t>
  </si>
  <si>
    <t>https://www.mercadolibre.com.ar/capacitor-electrolitico-2200uf-16v-105-grados-13x20mm/up/MLAU218501447?pdp_filters=item_id:MLA1147070006&amp;sid=purchases</t>
  </si>
  <si>
    <t>Modulo Indicador Carga De Bateria De Litio</t>
  </si>
  <si>
    <t>https://www.mercadolibre.com.ar/modulo-indicador-carga-de-bateria-de-litio-3s-111v--126v/up/MLAU309927320</t>
  </si>
  <si>
    <t>45 x 20 x 8</t>
  </si>
  <si>
    <t>Conversor Ads</t>
  </si>
  <si>
    <t>Proveedor</t>
  </si>
  <si>
    <t>Filamentos para estructura</t>
  </si>
  <si>
    <t>Print a Lot/ Grilon / bambulab</t>
  </si>
  <si>
    <t>Packs de Cables</t>
  </si>
  <si>
    <t>Dupont</t>
  </si>
  <si>
    <t>Varios</t>
  </si>
  <si>
    <t>20 cm de largo</t>
  </si>
  <si>
    <t xml:space="preserve">  </t>
  </si>
  <si>
    <t>Total Dolares</t>
  </si>
  <si>
    <t>Plazo de entrega (días)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</si>
</sst>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1" fillId="0" borderId="1" xfId="1" applyBorder="1"/>
    <xf numFmtId="0" fontId="1" fillId="0" borderId="1" xfId="1" applyBorder="1" applyAlignment="1"/>
    <xf numFmtId="164" fontId="0" fillId="0" borderId="1" xfId="0" applyNumberFormat="1" applyBorder="1" applyAlignment="1">
      <alignment horizontal="right"/>
    </xf>
    <xf numFmtId="0" fontId="0" fillId="3" borderId="2" xfId="0" applyFill="1" applyBorder="1"/>
    <xf numFmtId="0" fontId="0" fillId="2" borderId="3" xfId="0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3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right"/>
    </xf>
    <xf numFmtId="0" fontId="0" fillId="0" borderId="5" xfId="0" applyBorder="1" applyAlignment="1">
      <alignment horizontal="left"/>
    </xf>
    <xf numFmtId="0" fontId="0" fillId="0" borderId="5" xfId="0" applyBorder="1"/>
    <xf numFmtId="164" fontId="0" fillId="0" borderId="5" xfId="0" applyNumberFormat="1" applyBorder="1" applyAlignment="1">
      <alignment horizontal="right"/>
    </xf>
    <xf numFmtId="0" fontId="1" fillId="0" borderId="1" xfId="2" applyBorder="1"/>
    <xf numFmtId="0" fontId="1" fillId="0" borderId="5" xfId="1" applyBorder="1"/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1" xfId="0" applyBorder="1" applyAlignment="1">
      <alignment horizontal="right" wrapText="1"/>
    </xf>
    <xf numFmtId="2" fontId="0" fillId="0" borderId="1" xfId="0" applyNumberFormat="1" applyBorder="1" applyAlignment="1">
      <alignment horizontal="right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27"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[$$-2C0A]\ * #,##0.00_-;\-[$$-2C0A]\ * #,##0.00_-;_-[$$-2C0A]\ * &quot;-&quot;??_-;_-@_-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rgb="FF000000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65BB-3179-4BDB-9E43-2EEFD2C35A7F}" name="Tabla1" displayName="Tabla1" ref="A2:L26" totalsRowCount="1" headerRowDxfId="26" headerRowBorderDxfId="25" tableBorderDxfId="24">
  <autoFilter ref="A2:L25" xr:uid="{561865BB-3179-4BDB-9E43-2EEFD2C35A7F}"/>
  <tableColumns count="12">
    <tableColumn id="1" xr3:uid="{B8CCE128-DC4D-4762-9CEC-E57E2F1B4814}" name="Item" totalsRowLabel="Total" dataDxfId="23" totalsRowDxfId="14"/>
    <tableColumn id="2" xr3:uid="{80A7E9C9-8C47-462F-8082-B72DBAA03E79}" name="Cantidad" dataDxfId="22" totalsRowDxfId="13"/>
    <tableColumn id="3" xr3:uid="{249EFD46-3DC7-488A-8FD0-8C90E92D8632}" name="Marca" dataDxfId="21" totalsRowDxfId="12"/>
    <tableColumn id="4" xr3:uid="{D0601849-635F-45D0-B547-40D7AB40B0F5}" name="modelo" dataDxfId="20" totalsRowDxfId="11"/>
    <tableColumn id="5" xr3:uid="{C0873404-3CCA-4D8C-B299-FB964FA29554}" name="Material" dataDxfId="19" totalsRowDxfId="10"/>
    <tableColumn id="6" xr3:uid="{EED691AE-8CD0-4611-AF4A-46AAD5F33496}" name="peso (gr)" totalsRowFunction="sum" dataDxfId="18" totalsRowDxfId="9"/>
    <tableColumn id="7" xr3:uid="{7888705E-69EA-4D0B-BD73-DC3F95B3DC1B}" name="Dimensiones (mm)" dataDxfId="17" totalsRowDxfId="8"/>
    <tableColumn id="8" xr3:uid="{AC346275-888B-44CB-8C0B-2377A4140CCA}" name="Precio unit(ARS)" dataDxfId="16" totalsRowDxfId="7"/>
    <tableColumn id="10" xr3:uid="{A7D737DC-F1C8-45F7-AA9B-ADBD20AF835A}" name="Precio total" totalsRowFunction="sum" dataDxfId="15" totalsRowDxfId="6">
      <calculatedColumnFormula>Tabla1[[#This Row],[Precio unit(ARS)]]*Tabla1[[#This Row],[Cantidad]]</calculatedColumnFormula>
    </tableColumn>
    <tableColumn id="11" xr3:uid="{1CB51A16-F8C7-4978-AC9A-53C589851A78}" name="Total Dolares" totalsRowFunction="sum" dataDxfId="2" totalsRowDxfId="4">
      <calculatedColumnFormula>Tabla1[[#This Row],[Precio total]]/1500</calculatedColumnFormula>
    </tableColumn>
    <tableColumn id="12" xr3:uid="{0FE9BCA9-B95A-4E71-AE4F-05562F6CA814}" name="Plazo de entrega (días)" dataDxfId="0" totalsRowDxfId="3"/>
    <tableColumn id="9" xr3:uid="{A6884434-B29D-4C07-8D82-BD5D5D64C4F6}" name="Proveedor" totalsRowFunction="count" dataDxfId="1" totalsRowDxfId="5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ercadolibre.com.ar/ads1115-adc-16-bit-conversor-ad-4-canales-arduino/p/MLA2038776439?pdp_filters=item_id:MLA2654161456&amp;sid=purchases" TargetMode="External"/><Relationship Id="rId13" Type="http://schemas.openxmlformats.org/officeDocument/2006/relationships/hyperlink" Target="https://www.mercadolibre.com.ar/fuente-regulable-step-up-mt3608-para-arduino-y-microcontroladores/p/MLA46722580?pdp_filters=item_id:MLA1787209829&amp;sid=purchases" TargetMode="External"/><Relationship Id="rId3" Type="http://schemas.openxmlformats.org/officeDocument/2006/relationships/hyperlink" Target="https://www.mercadolibre.com.ar/controlador-servos-16-canales-i2c-pca9685-pwm-arduino-candy/up/MLAU270638199" TargetMode="External"/><Relationship Id="rId7" Type="http://schemas.openxmlformats.org/officeDocument/2006/relationships/hyperlink" Target="https://www.mercadolibre.com.ar/nodemcu-esp32-c3-supermini-wifi-bluetooth-50-usb-c-iot-16-pines-compatible-arduino/p/MLA61634225" TargetMode="External"/><Relationship Id="rId12" Type="http://schemas.openxmlformats.org/officeDocument/2006/relationships/hyperlink" Target="https://www.mercadolibre.com.ar/bateria-lipo-con-cable-jst-ph-37v-500mah/p/MLA2098680796?pdp_filters=item_id:MLA1119398648&amp;sid=purchases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www.mercadolibre.com.ar/sensor-de-flexion-5x-de-22-pulgadas-para-manipulador-electr/p/MLA2073926990?pdp_filters=item_id:MLA2558058784&amp;sid=purchases" TargetMode="External"/><Relationship Id="rId16" Type="http://schemas.openxmlformats.org/officeDocument/2006/relationships/hyperlink" Target="https://www.mercadolibre.com.ar/modulo-indicador-carga-de-bateria-de-litio-3s-111v--126v/up/MLAU309927320" TargetMode="External"/><Relationship Id="rId1" Type="http://schemas.openxmlformats.org/officeDocument/2006/relationships/hyperlink" Target="https://www.mercadolibre.com.ar/mini-servo-mg90s-18kg-torque-desarrollo-domotica/up/MLAU132173611" TargetMode="External"/><Relationship Id="rId6" Type="http://schemas.openxmlformats.org/officeDocument/2006/relationships/hyperlink" Target="https://www.mercadolibre.com.ar/ruleman-mr-106-zz-6x10x3-x40-unidades-ms-rodamientos/up/MLAU258016962" TargetMode="External"/><Relationship Id="rId11" Type="http://schemas.openxmlformats.org/officeDocument/2006/relationships/hyperlink" Target="https://www.mercadolibre.com.ar/multiplexor-analogico-16-canales-74hc4067/up/MLAU397549426" TargetMode="External"/><Relationship Id="rId5" Type="http://schemas.openxmlformats.org/officeDocument/2006/relationships/hyperlink" Target="https://www.mercadolibre.com.ar/cuerda-soga-cabo-dyneema-spectron-2mm-pre-estirado-nautico/up/MLAU2570316529" TargetMode="External"/><Relationship Id="rId15" Type="http://schemas.openxmlformats.org/officeDocument/2006/relationships/hyperlink" Target="https://www.mercadolibre.com.ar/capacitor-electrolitico-2200uf-16v-105-grados-13x20mm/up/MLAU218501447?pdp_filters=item_id:MLA1147070006&amp;sid=purchases" TargetMode="External"/><Relationship Id="rId10" Type="http://schemas.openxmlformats.org/officeDocument/2006/relationships/hyperlink" Target="https://www.mercadolibre.com.ar/potenciometro-10k-ohms-lineal-pote-15mm-wh148-b10k-nubbeo/up/MLAU231232513?pdp_filters=item_id:MLA770743716" TargetMode="External"/><Relationship Id="rId4" Type="http://schemas.openxmlformats.org/officeDocument/2006/relationships/hyperlink" Target="https://www.mercadolibre.com.ar/nodemcu-esp32-38-pines-usb-c-wifi-bluetooth-placa-desarrollo-iot-compatible-arduino/p/MLA42485623?pdp_filters=item_id:MLA1962630270" TargetMode="External"/><Relationship Id="rId9" Type="http://schemas.openxmlformats.org/officeDocument/2006/relationships/hyperlink" Target="https://www.mercadolibre.com.ar/servo-digital-dsservo-ds3225-para-coche-25-kg-metal-gear-h/p/MLA2059431731?pdp_filters=item_id:MLA1747190597&amp;sid=purchases" TargetMode="External"/><Relationship Id="rId14" Type="http://schemas.openxmlformats.org/officeDocument/2006/relationships/hyperlink" Target="https://www.mercadolibre.com.ar/modulo-cargador-bateria-litio-37v-usb-c-con-proteccion/p/MLA2087758453?pdp_filters=item_id:MLA1935627769&amp;sid=purcha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0836-3388-46C8-A273-6B4EADEAD9CC}">
  <dimension ref="A1:L26"/>
  <sheetViews>
    <sheetView tabSelected="1" zoomScale="85" zoomScaleNormal="85" workbookViewId="0">
      <selection activeCell="D19" sqref="D19"/>
    </sheetView>
  </sheetViews>
  <sheetFormatPr baseColWidth="10" defaultColWidth="11.42578125" defaultRowHeight="15" x14ac:dyDescent="0.25"/>
  <cols>
    <col min="1" max="1" width="24.85546875" bestFit="1" customWidth="1"/>
    <col min="4" max="4" width="16.140625" bestFit="1" customWidth="1"/>
    <col min="5" max="5" width="18.28515625" customWidth="1"/>
    <col min="7" max="7" width="20" customWidth="1"/>
    <col min="8" max="9" width="14.28515625" customWidth="1"/>
    <col min="10" max="11" width="19.28515625" customWidth="1"/>
    <col min="12" max="12" width="70" customWidth="1"/>
  </cols>
  <sheetData>
    <row r="1" spans="1:12" x14ac:dyDescent="0.25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2"/>
    </row>
    <row r="2" spans="1:12" x14ac:dyDescent="0.25">
      <c r="A2" s="11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111</v>
      </c>
      <c r="K2" s="7" t="s">
        <v>112</v>
      </c>
      <c r="L2" s="7" t="s">
        <v>103</v>
      </c>
    </row>
    <row r="3" spans="1:12" x14ac:dyDescent="0.25">
      <c r="A3" s="12" t="s">
        <v>10</v>
      </c>
      <c r="B3" s="2">
        <v>10</v>
      </c>
      <c r="C3" s="2" t="s">
        <v>11</v>
      </c>
      <c r="D3" s="3" t="s">
        <v>12</v>
      </c>
      <c r="E3" s="3" t="s">
        <v>13</v>
      </c>
      <c r="F3" s="2">
        <v>16.5</v>
      </c>
      <c r="G3" s="2" t="s">
        <v>14</v>
      </c>
      <c r="H3" s="6">
        <v>8728</v>
      </c>
      <c r="I3" s="6">
        <f>Tabla1[[#This Row],[Precio unit(ARS)]]*Tabla1[[#This Row],[Cantidad]]</f>
        <v>87280</v>
      </c>
      <c r="J3" s="6">
        <f>Tabla1[[#This Row],[Precio total]]/1500</f>
        <v>58.186666666666667</v>
      </c>
      <c r="K3" s="24">
        <v>2</v>
      </c>
      <c r="L3" s="4" t="s">
        <v>15</v>
      </c>
    </row>
    <row r="4" spans="1:12" x14ac:dyDescent="0.25">
      <c r="A4" s="12" t="s">
        <v>66</v>
      </c>
      <c r="B4" s="2">
        <v>1</v>
      </c>
      <c r="C4" s="2" t="s">
        <v>18</v>
      </c>
      <c r="D4" s="3" t="s">
        <v>64</v>
      </c>
      <c r="E4" s="3" t="s">
        <v>16</v>
      </c>
      <c r="F4" s="2">
        <v>67</v>
      </c>
      <c r="G4" s="2" t="s">
        <v>65</v>
      </c>
      <c r="H4" s="6">
        <v>58407</v>
      </c>
      <c r="I4" s="6">
        <f>Tabla1[[#This Row],[Precio unit(ARS)]]*Tabla1[[#This Row],[Cantidad]]</f>
        <v>58407</v>
      </c>
      <c r="J4" s="6">
        <f>Tabla1[[#This Row],[Precio total]]/1500</f>
        <v>38.938000000000002</v>
      </c>
      <c r="K4" s="24">
        <v>15</v>
      </c>
      <c r="L4" s="5" t="s">
        <v>63</v>
      </c>
    </row>
    <row r="5" spans="1:12" x14ac:dyDescent="0.25">
      <c r="A5" s="12" t="s">
        <v>17</v>
      </c>
      <c r="B5" s="2">
        <v>2</v>
      </c>
      <c r="C5" s="2"/>
      <c r="D5" s="3" t="s">
        <v>18</v>
      </c>
      <c r="E5" s="3" t="s">
        <v>19</v>
      </c>
      <c r="F5" s="2">
        <f>90/5</f>
        <v>18</v>
      </c>
      <c r="G5" s="2" t="s">
        <v>20</v>
      </c>
      <c r="H5" s="6">
        <v>65958</v>
      </c>
      <c r="I5" s="6">
        <f>Tabla1[[#This Row],[Precio unit(ARS)]]*Tabla1[[#This Row],[Cantidad]]</f>
        <v>131916</v>
      </c>
      <c r="J5" s="6">
        <f>Tabla1[[#This Row],[Precio total]]/1500</f>
        <v>87.944000000000003</v>
      </c>
      <c r="K5" s="24">
        <v>15</v>
      </c>
      <c r="L5" s="4" t="s">
        <v>21</v>
      </c>
    </row>
    <row r="6" spans="1:12" x14ac:dyDescent="0.25">
      <c r="A6" s="12" t="s">
        <v>22</v>
      </c>
      <c r="B6" s="2">
        <v>1</v>
      </c>
      <c r="C6" s="2"/>
      <c r="D6" s="3"/>
      <c r="E6" s="3"/>
      <c r="F6" s="2"/>
      <c r="G6" s="2"/>
      <c r="H6" s="6"/>
      <c r="I6" s="6">
        <f>Tabla1[[#This Row],[Precio unit(ARS)]]*Tabla1[[#This Row],[Cantidad]]</f>
        <v>0</v>
      </c>
      <c r="J6" s="6">
        <f>Tabla1[[#This Row],[Precio total]]/1500</f>
        <v>0</v>
      </c>
      <c r="K6" s="24">
        <v>2</v>
      </c>
      <c r="L6" s="1"/>
    </row>
    <row r="7" spans="1:12" x14ac:dyDescent="0.25">
      <c r="A7" s="12" t="s">
        <v>23</v>
      </c>
      <c r="B7" s="2">
        <v>6</v>
      </c>
      <c r="C7" s="2" t="s">
        <v>24</v>
      </c>
      <c r="D7" s="3" t="s">
        <v>25</v>
      </c>
      <c r="E7" s="3"/>
      <c r="F7" s="2"/>
      <c r="G7" s="2" t="s">
        <v>26</v>
      </c>
      <c r="H7" s="6">
        <v>4600</v>
      </c>
      <c r="I7" s="6">
        <f>Tabla1[[#This Row],[Precio unit(ARS)]]*Tabla1[[#This Row],[Cantidad]]</f>
        <v>27600</v>
      </c>
      <c r="J7" s="6">
        <f>Tabla1[[#This Row],[Precio total]]/1500</f>
        <v>18.399999999999999</v>
      </c>
      <c r="K7" s="24">
        <v>2</v>
      </c>
      <c r="L7" s="18" t="s">
        <v>27</v>
      </c>
    </row>
    <row r="8" spans="1:12" x14ac:dyDescent="0.25">
      <c r="A8" s="12" t="s">
        <v>28</v>
      </c>
      <c r="B8" s="2">
        <v>1</v>
      </c>
      <c r="C8" s="2"/>
      <c r="D8" s="3" t="s">
        <v>29</v>
      </c>
      <c r="E8" s="3" t="s">
        <v>30</v>
      </c>
      <c r="F8" s="2">
        <v>10</v>
      </c>
      <c r="G8" s="2" t="s">
        <v>31</v>
      </c>
      <c r="H8" s="6">
        <v>15990</v>
      </c>
      <c r="I8" s="6">
        <f>Tabla1[[#This Row],[Precio unit(ARS)]]*Tabla1[[#This Row],[Cantidad]]</f>
        <v>15990</v>
      </c>
      <c r="J8" s="6">
        <f>Tabla1[[#This Row],[Precio total]]/1500</f>
        <v>10.66</v>
      </c>
      <c r="K8" s="24">
        <v>2</v>
      </c>
      <c r="L8" s="4" t="s">
        <v>32</v>
      </c>
    </row>
    <row r="9" spans="1:12" x14ac:dyDescent="0.25">
      <c r="A9" s="12" t="s">
        <v>33</v>
      </c>
      <c r="B9" s="2">
        <v>1</v>
      </c>
      <c r="C9" s="2"/>
      <c r="D9" s="3" t="s">
        <v>34</v>
      </c>
      <c r="E9" s="3" t="s">
        <v>30</v>
      </c>
      <c r="F9" s="2">
        <v>2</v>
      </c>
      <c r="G9" s="2" t="s">
        <v>35</v>
      </c>
      <c r="H9" s="6">
        <v>6929</v>
      </c>
      <c r="I9" s="6">
        <f>Tabla1[[#This Row],[Precio unit(ARS)]]*Tabla1[[#This Row],[Cantidad]]</f>
        <v>6929</v>
      </c>
      <c r="J9" s="6">
        <f>Tabla1[[#This Row],[Precio total]]/1500</f>
        <v>4.6193333333333335</v>
      </c>
      <c r="K9" s="24">
        <v>2</v>
      </c>
      <c r="L9" s="18" t="s">
        <v>36</v>
      </c>
    </row>
    <row r="10" spans="1:12" x14ac:dyDescent="0.25">
      <c r="A10" s="12" t="s">
        <v>37</v>
      </c>
      <c r="B10" s="2">
        <v>1</v>
      </c>
      <c r="C10" s="2"/>
      <c r="D10" s="3" t="s">
        <v>38</v>
      </c>
      <c r="E10" s="3" t="s">
        <v>30</v>
      </c>
      <c r="F10" s="2">
        <v>9</v>
      </c>
      <c r="G10" s="2" t="s">
        <v>39</v>
      </c>
      <c r="H10" s="6">
        <v>9900</v>
      </c>
      <c r="I10" s="6">
        <f>Tabla1[[#This Row],[Precio unit(ARS)]]*Tabla1[[#This Row],[Cantidad]]</f>
        <v>9900</v>
      </c>
      <c r="J10" s="6">
        <f>Tabla1[[#This Row],[Precio total]]/1500</f>
        <v>6.6</v>
      </c>
      <c r="K10" s="24">
        <v>2</v>
      </c>
      <c r="L10" s="4" t="s">
        <v>40</v>
      </c>
    </row>
    <row r="11" spans="1:12" x14ac:dyDescent="0.25">
      <c r="A11" s="12" t="s">
        <v>41</v>
      </c>
      <c r="B11" s="2">
        <v>1</v>
      </c>
      <c r="C11" s="2" t="s">
        <v>86</v>
      </c>
      <c r="D11" s="2" t="s">
        <v>18</v>
      </c>
      <c r="E11" s="3" t="s">
        <v>83</v>
      </c>
      <c r="F11" s="2">
        <v>16</v>
      </c>
      <c r="G11" s="2" t="s">
        <v>84</v>
      </c>
      <c r="H11" s="6">
        <v>16923</v>
      </c>
      <c r="I11" s="6">
        <f>Tabla1[[#This Row],[Precio unit(ARS)]]*Tabla1[[#This Row],[Cantidad]]</f>
        <v>16923</v>
      </c>
      <c r="J11" s="6">
        <f>Tabla1[[#This Row],[Precio total]]/1500</f>
        <v>11.282</v>
      </c>
      <c r="K11" s="24">
        <v>2</v>
      </c>
      <c r="L11" s="4" t="s">
        <v>85</v>
      </c>
    </row>
    <row r="12" spans="1:12" x14ac:dyDescent="0.25">
      <c r="A12" s="12" t="s">
        <v>73</v>
      </c>
      <c r="B12" s="2">
        <v>1</v>
      </c>
      <c r="C12" s="2" t="s">
        <v>75</v>
      </c>
      <c r="D12" s="3" t="s">
        <v>74</v>
      </c>
      <c r="E12" s="3" t="s">
        <v>30</v>
      </c>
      <c r="F12" s="2">
        <v>2</v>
      </c>
      <c r="G12" s="2" t="s">
        <v>76</v>
      </c>
      <c r="H12" s="6">
        <v>6000</v>
      </c>
      <c r="I12" s="6">
        <f>Tabla1[[#This Row],[Precio unit(ARS)]]*Tabla1[[#This Row],[Cantidad]]</f>
        <v>6000</v>
      </c>
      <c r="J12" s="6">
        <f>Tabla1[[#This Row],[Precio total]]/1500</f>
        <v>4</v>
      </c>
      <c r="K12" s="24">
        <v>2</v>
      </c>
      <c r="L12" s="4" t="s">
        <v>77</v>
      </c>
    </row>
    <row r="13" spans="1:12" x14ac:dyDescent="0.25">
      <c r="A13" s="12" t="s">
        <v>67</v>
      </c>
      <c r="B13" s="2">
        <v>6</v>
      </c>
      <c r="C13" s="2" t="s">
        <v>69</v>
      </c>
      <c r="D13" s="3" t="s">
        <v>68</v>
      </c>
      <c r="E13" s="3" t="s">
        <v>70</v>
      </c>
      <c r="F13" s="2">
        <v>5</v>
      </c>
      <c r="G13" s="2" t="s">
        <v>72</v>
      </c>
      <c r="H13" s="6">
        <v>3807</v>
      </c>
      <c r="I13" s="6">
        <f>Tabla1[[#This Row],[Precio unit(ARS)]]*Tabla1[[#This Row],[Cantidad]]</f>
        <v>22842</v>
      </c>
      <c r="J13" s="6">
        <f>Tabla1[[#This Row],[Precio total]]/1500</f>
        <v>15.228</v>
      </c>
      <c r="K13" s="24">
        <v>2</v>
      </c>
      <c r="L13" s="4" t="s">
        <v>71</v>
      </c>
    </row>
    <row r="14" spans="1:12" x14ac:dyDescent="0.25">
      <c r="A14" s="12" t="s">
        <v>106</v>
      </c>
      <c r="B14" s="2">
        <v>4</v>
      </c>
      <c r="C14" s="2" t="s">
        <v>107</v>
      </c>
      <c r="D14" s="3" t="s">
        <v>108</v>
      </c>
      <c r="E14" s="3"/>
      <c r="F14" s="2"/>
      <c r="G14" s="2" t="s">
        <v>109</v>
      </c>
      <c r="H14" s="6">
        <v>4500</v>
      </c>
      <c r="I14" s="6">
        <f>Tabla1[[#This Row],[Precio unit(ARS)]]*Tabla1[[#This Row],[Cantidad]]</f>
        <v>18000</v>
      </c>
      <c r="J14" s="6">
        <f>Tabla1[[#This Row],[Precio total]]/1500</f>
        <v>12</v>
      </c>
      <c r="K14" s="24">
        <v>2</v>
      </c>
      <c r="L14" s="1"/>
    </row>
    <row r="15" spans="1:12" x14ac:dyDescent="0.25">
      <c r="A15" s="12" t="s">
        <v>42</v>
      </c>
      <c r="B15" s="2">
        <v>50</v>
      </c>
      <c r="C15" s="3" t="s">
        <v>108</v>
      </c>
      <c r="D15" s="3"/>
      <c r="E15" s="3"/>
      <c r="F15" s="2"/>
      <c r="G15" s="2"/>
      <c r="H15" s="6"/>
      <c r="I15" s="6">
        <v>20000</v>
      </c>
      <c r="J15" s="6">
        <f>Tabla1[[#This Row],[Precio total]]/1500</f>
        <v>13.333333333333334</v>
      </c>
      <c r="K15" s="24">
        <v>2</v>
      </c>
      <c r="L15" s="1"/>
    </row>
    <row r="16" spans="1:12" ht="45" x14ac:dyDescent="0.25">
      <c r="A16" s="12" t="s">
        <v>104</v>
      </c>
      <c r="B16" s="2">
        <v>3</v>
      </c>
      <c r="C16" s="23" t="s">
        <v>105</v>
      </c>
      <c r="D16" s="3"/>
      <c r="E16" s="3"/>
      <c r="F16" s="2">
        <v>3000</v>
      </c>
      <c r="G16" s="2"/>
      <c r="H16" s="6">
        <v>30000</v>
      </c>
      <c r="I16" s="6">
        <f>Tabla1[[#This Row],[Precio unit(ARS)]]*Tabla1[[#This Row],[Cantidad]]</f>
        <v>90000</v>
      </c>
      <c r="J16" s="6">
        <f>Tabla1[[#This Row],[Precio total]]/1500</f>
        <v>60</v>
      </c>
      <c r="K16" s="24">
        <v>2</v>
      </c>
      <c r="L16" s="1"/>
    </row>
    <row r="17" spans="1:12" x14ac:dyDescent="0.25">
      <c r="A17" s="12" t="s">
        <v>43</v>
      </c>
      <c r="B17" s="2">
        <v>1</v>
      </c>
      <c r="C17" s="2"/>
      <c r="D17" s="3"/>
      <c r="E17" s="3"/>
      <c r="F17" s="2" t="s">
        <v>110</v>
      </c>
      <c r="G17" s="2"/>
      <c r="H17" s="6"/>
      <c r="I17" s="6">
        <f>Tabla1[[#This Row],[Precio unit(ARS)]]*Tabla1[[#This Row],[Cantidad]]</f>
        <v>0</v>
      </c>
      <c r="J17" s="6">
        <f>Tabla1[[#This Row],[Precio total]]/1500</f>
        <v>0</v>
      </c>
      <c r="K17" s="24">
        <v>2</v>
      </c>
      <c r="L17" s="1"/>
    </row>
    <row r="18" spans="1:12" x14ac:dyDescent="0.25">
      <c r="A18" s="12" t="s">
        <v>44</v>
      </c>
      <c r="B18" s="2">
        <v>45</v>
      </c>
      <c r="C18" s="2"/>
      <c r="D18" s="3" t="s">
        <v>45</v>
      </c>
      <c r="E18" s="3"/>
      <c r="F18" s="2">
        <f>1*Tabla1[[#This Row],[Cantidad]]</f>
        <v>45</v>
      </c>
      <c r="G18" s="2" t="s">
        <v>46</v>
      </c>
      <c r="H18" s="6">
        <v>2160.15</v>
      </c>
      <c r="I18" s="6">
        <f>Tabla1[[#This Row],[Precio unit(ARS)]]*Tabla1[[#This Row],[Cantidad]]</f>
        <v>97206.75</v>
      </c>
      <c r="J18" s="6">
        <f>Tabla1[[#This Row],[Precio total]]/1500</f>
        <v>64.804500000000004</v>
      </c>
      <c r="K18" s="24">
        <v>2</v>
      </c>
      <c r="L18" s="4" t="s">
        <v>47</v>
      </c>
    </row>
    <row r="19" spans="1:12" x14ac:dyDescent="0.25">
      <c r="A19" s="12" t="s">
        <v>87</v>
      </c>
      <c r="B19" s="2">
        <v>1</v>
      </c>
      <c r="C19" s="2" t="s">
        <v>89</v>
      </c>
      <c r="D19" s="3" t="s">
        <v>88</v>
      </c>
      <c r="E19" s="3" t="s">
        <v>30</v>
      </c>
      <c r="F19" s="2">
        <v>20</v>
      </c>
      <c r="G19" s="2"/>
      <c r="H19" s="6">
        <v>5072</v>
      </c>
      <c r="I19" s="6">
        <f>Tabla1[[#This Row],[Precio unit(ARS)]]*Tabla1[[#This Row],[Cantidad]]</f>
        <v>5072</v>
      </c>
      <c r="J19" s="6">
        <f>Tabla1[[#This Row],[Precio total]]/1500</f>
        <v>3.3813333333333335</v>
      </c>
      <c r="K19" s="24">
        <v>2</v>
      </c>
      <c r="L19" s="4" t="s">
        <v>91</v>
      </c>
    </row>
    <row r="20" spans="1:12" x14ac:dyDescent="0.25">
      <c r="A20" s="12" t="s">
        <v>90</v>
      </c>
      <c r="B20" s="2">
        <v>1</v>
      </c>
      <c r="C20" s="2" t="s">
        <v>95</v>
      </c>
      <c r="D20" s="3" t="s">
        <v>93</v>
      </c>
      <c r="E20" s="3" t="s">
        <v>30</v>
      </c>
      <c r="F20" s="2">
        <v>0.96</v>
      </c>
      <c r="G20" s="2" t="s">
        <v>94</v>
      </c>
      <c r="H20" s="6">
        <v>4275</v>
      </c>
      <c r="I20" s="6">
        <f>Tabla1[[#This Row],[Precio unit(ARS)]]*Tabla1[[#This Row],[Cantidad]]</f>
        <v>4275</v>
      </c>
      <c r="J20" s="6">
        <f>Tabla1[[#This Row],[Precio total]]/1500</f>
        <v>2.85</v>
      </c>
      <c r="K20" s="24">
        <v>2</v>
      </c>
      <c r="L20" s="4" t="s">
        <v>92</v>
      </c>
    </row>
    <row r="21" spans="1:12" x14ac:dyDescent="0.25">
      <c r="A21" s="12" t="s">
        <v>99</v>
      </c>
      <c r="B21" s="2">
        <v>1</v>
      </c>
      <c r="C21" s="2" t="s">
        <v>89</v>
      </c>
      <c r="D21" s="2" t="s">
        <v>18</v>
      </c>
      <c r="E21" s="3" t="s">
        <v>16</v>
      </c>
      <c r="F21" s="2">
        <v>1</v>
      </c>
      <c r="G21" s="2" t="s">
        <v>101</v>
      </c>
      <c r="H21" s="6">
        <v>7086</v>
      </c>
      <c r="I21" s="6">
        <f>Tabla1[[#This Row],[Precio unit(ARS)]]*Tabla1[[#This Row],[Cantidad]]</f>
        <v>7086</v>
      </c>
      <c r="J21" s="6">
        <f>Tabla1[[#This Row],[Precio total]]/1500</f>
        <v>4.7240000000000002</v>
      </c>
      <c r="K21" s="24">
        <v>2</v>
      </c>
      <c r="L21" s="4" t="s">
        <v>100</v>
      </c>
    </row>
    <row r="22" spans="1:12" x14ac:dyDescent="0.25">
      <c r="A22" s="12" t="s">
        <v>96</v>
      </c>
      <c r="B22" s="2">
        <v>1</v>
      </c>
      <c r="C22" s="2" t="s">
        <v>89</v>
      </c>
      <c r="D22" s="2" t="s">
        <v>18</v>
      </c>
      <c r="E22" s="3"/>
      <c r="F22" s="2">
        <v>1</v>
      </c>
      <c r="G22" s="2" t="s">
        <v>97</v>
      </c>
      <c r="H22" s="6">
        <v>3596</v>
      </c>
      <c r="I22" s="6">
        <f>Tabla1[[#This Row],[Precio unit(ARS)]]*Tabla1[[#This Row],[Cantidad]]</f>
        <v>3596</v>
      </c>
      <c r="J22" s="6">
        <f>Tabla1[[#This Row],[Precio total]]/1500</f>
        <v>2.3973333333333335</v>
      </c>
      <c r="K22" s="24">
        <v>2</v>
      </c>
      <c r="L22" s="4" t="s">
        <v>98</v>
      </c>
    </row>
    <row r="23" spans="1:12" x14ac:dyDescent="0.25">
      <c r="A23" s="12" t="s">
        <v>78</v>
      </c>
      <c r="B23" s="2">
        <v>1</v>
      </c>
      <c r="C23" s="2" t="s">
        <v>80</v>
      </c>
      <c r="D23" s="3" t="s">
        <v>81</v>
      </c>
      <c r="E23" s="3" t="s">
        <v>30</v>
      </c>
      <c r="F23" s="2">
        <v>5</v>
      </c>
      <c r="G23" s="2" t="s">
        <v>82</v>
      </c>
      <c r="H23" s="6">
        <v>12400</v>
      </c>
      <c r="I23" s="6">
        <f>Tabla1[[#This Row],[Precio unit(ARS)]]*Tabla1[[#This Row],[Cantidad]]</f>
        <v>12400</v>
      </c>
      <c r="J23" s="6">
        <f>Tabla1[[#This Row],[Precio total]]/1500</f>
        <v>8.2666666666666675</v>
      </c>
      <c r="K23" s="24">
        <v>2</v>
      </c>
      <c r="L23" s="4" t="s">
        <v>79</v>
      </c>
    </row>
    <row r="24" spans="1:12" x14ac:dyDescent="0.25">
      <c r="A24" s="12" t="s">
        <v>59</v>
      </c>
      <c r="B24" s="2">
        <v>10</v>
      </c>
      <c r="C24" s="2"/>
      <c r="D24" s="3"/>
      <c r="E24" s="3"/>
      <c r="F24" s="2"/>
      <c r="G24" s="2"/>
      <c r="H24" s="6"/>
      <c r="I24" s="6">
        <f>Tabla1[[#This Row],[Precio unit(ARS)]]*Tabla1[[#This Row],[Cantidad]]</f>
        <v>0</v>
      </c>
      <c r="J24" s="6">
        <f>Tabla1[[#This Row],[Precio total]]/1500</f>
        <v>0</v>
      </c>
      <c r="K24" s="24">
        <v>2</v>
      </c>
      <c r="L24" s="4"/>
    </row>
    <row r="25" spans="1:12" x14ac:dyDescent="0.25">
      <c r="A25" s="13" t="s">
        <v>102</v>
      </c>
      <c r="B25" s="14">
        <v>1</v>
      </c>
      <c r="C25" s="3" t="s">
        <v>18</v>
      </c>
      <c r="D25" s="15" t="s">
        <v>60</v>
      </c>
      <c r="E25" s="3" t="s">
        <v>30</v>
      </c>
      <c r="F25" s="14">
        <v>5</v>
      </c>
      <c r="G25" s="14" t="s">
        <v>62</v>
      </c>
      <c r="H25" s="17">
        <v>7999</v>
      </c>
      <c r="I25" s="17">
        <f>Tabla1[[#This Row],[Precio unit(ARS)]]*Tabla1[[#This Row],[Cantidad]]</f>
        <v>7999</v>
      </c>
      <c r="J25" s="6">
        <f>Tabla1[[#This Row],[Precio total]]/1500</f>
        <v>5.3326666666666664</v>
      </c>
      <c r="K25" s="24">
        <v>2</v>
      </c>
      <c r="L25" s="19" t="s">
        <v>61</v>
      </c>
    </row>
    <row r="26" spans="1:12" x14ac:dyDescent="0.25">
      <c r="A26" s="13" t="s">
        <v>48</v>
      </c>
      <c r="B26" s="14"/>
      <c r="C26" s="14"/>
      <c r="D26" s="15"/>
      <c r="E26" s="15"/>
      <c r="F26" s="14">
        <f>SUBTOTAL(109,Tabla1[peso (gr)])</f>
        <v>3223.46</v>
      </c>
      <c r="G26" s="14"/>
      <c r="H26" s="14"/>
      <c r="I26" s="17">
        <f>SUBTOTAL(109,Tabla1[Precio total])</f>
        <v>649421.75</v>
      </c>
      <c r="J26" s="17">
        <f>SUBTOTAL(109,Tabla1[Total Dolares])</f>
        <v>432.94783333333339</v>
      </c>
      <c r="K26" s="17"/>
      <c r="L26" s="16">
        <f>SUBTOTAL(103,Tabla1[Proveedor])</f>
        <v>17</v>
      </c>
    </row>
  </sheetData>
  <mergeCells count="1">
    <mergeCell ref="A1:L1"/>
  </mergeCells>
  <hyperlinks>
    <hyperlink ref="L3" r:id="rId1" location="polycard_client=recommendations_pdp-v2p&amp;reco_backend=ranker_retrieval_online_vpp_v2p&amp;reco_model=coldstart_low_exposition&amp;reco_client=pdp-v2p&amp;reco_item_pos=1&amp;reco_backend_type=low_level&amp;reco_id=f1265352-5a3d-40b6-97e7-f8e78d83e0d2&amp;wid=MLA818533077&amp;sid=recos" display="https://www.mercadolibre.com.ar/mini-servo-mg90s-18kg-torque-desarrollo-domotica/up/MLAU132173611#polycard_client=recommendations_pdp-v2p&amp;reco_backend=ranker_retrieval_online_vpp_v2p&amp;reco_model=coldstart_low_exposition&amp;reco_client=pdp-v2p&amp;reco_item_pos=1&amp;reco_backend_type=low_level&amp;reco_id=f1265352-5a3d-40b6-97e7-f8e78d83e0d2&amp;wid=MLA818533077&amp;sid=recos" xr:uid="{15FD1A65-0A80-485F-B608-7650B90191F8}"/>
    <hyperlink ref="L5" r:id="rId2" xr:uid="{BC2BD403-8466-4E16-B65B-42CEA605EE61}"/>
    <hyperlink ref="L10" r:id="rId3" location="polycard_client=search-desktop&amp;be_origin=backend&amp;overlay_label=not_apply&amp;search_layout=grid&amp;position=5&amp;type=product&amp;tracking_id=31bd9f6f-895f-48a1-ad2e-dace4dd81418&amp;wid=MLA732101732&amp;sid=search" display="https://www.mercadolibre.com.ar/controlador-servos-16-canales-i2c-pca9685-pwm-arduino-candy/up/MLAU270638199#polycard_client=search-desktop&amp;be_origin=backend&amp;overlay_label=not_apply&amp;search_layout=grid&amp;position=5&amp;type=product&amp;tracking_id=31bd9f6f-895f-48a1-ad2e-dace4dd81418&amp;wid=MLA732101732&amp;sid=search" xr:uid="{496D4867-D49B-489D-A46F-06A04FF60008}"/>
    <hyperlink ref="L8" r:id="rId4" location="polycard_client=recommendations_vip-pads-right&amp;wid=MLA1962630270&amp;sid=recos&amp;reco_backend=pads_ranker_entity_v2_retrieval_system_vip_pads_up&amp;reco_model=fallback_productos-promocionados&amp;reco_client=vip-pads-right&amp;reco_item_pos=0&amp;reco_backend_type=low_level&amp;reco_id=7f744700-a38c-43fd-b3fd-2268197b12e2&amp;is_advertising=true&amp;ad_domain=VIPCORE_RIGHT&amp;ad_position=1&amp;ad_click_id=ZmNjMWY2ODEtZGZjYS00NzU2LWFjY2ItNDU4YjRkZmIxYzE5" display="https://www.mercadolibre.com.ar/nodemcu-esp32-38-pines-usb-c-wifi-bluetooth-placa-desarrollo-iot-compatible-arduino/p/MLA42485623?pdp_filters=item_id:MLA1962630270#polycard_client=recommendations_vip-pads-right&amp;wid=MLA1962630270&amp;sid=recos&amp;reco_backend=pads_ranker_entity_v2_retrieval_system_vip_pads_up&amp;reco_model=fallback_productos-promocionados&amp;reco_client=vip-pads-right&amp;reco_item_pos=0&amp;reco_backend_type=low_level&amp;reco_id=7f744700-a38c-43fd-b3fd-2268197b12e2&amp;is_advertising=true&amp;ad_domain=VIPCORE_RIGHT&amp;ad_position=1&amp;ad_click_id=ZmNjMWY2ODEtZGZjYS00NzU2LWFjY2ItNDU4YjRkZmIxYzE5" xr:uid="{518EBFDD-1D79-45E4-ABF3-17643FED9096}"/>
    <hyperlink ref="L7" r:id="rId5" location="polycard_client=search-desktop&amp;be_origin=backend&amp;overlay_label=not_apply&amp;search_layout=grid&amp;position=1&amp;type=product&amp;tracking_id=c7f707f6-bb2f-4238-9349-f662d2541884&amp;wid=MLA1944731320&amp;sid=search" display="https://www.mercadolibre.com.ar/cuerda-soga-cabo-dyneema-spectron-2mm-pre-estirado-nautico/up/MLAU2570316529#polycard_client=search-desktop&amp;be_origin=backend&amp;overlay_label=not_apply&amp;search_layout=grid&amp;position=1&amp;type=product&amp;tracking_id=c7f707f6-bb2f-4238-9349-f662d2541884&amp;wid=MLA1944731320&amp;sid=search" xr:uid="{DCF88AE3-517D-42AC-8450-8BA926B39FAF}"/>
    <hyperlink ref="L18" r:id="rId6" location="polycard_client=search-desktop&amp;be_origin=backend&amp;overlay_label=not_apply&amp;search_layout=grid&amp;position=4&amp;type=product&amp;tracking_id=14f5bd5c-69ab-4c25-bb31-1ec8ffe1d15d&amp;wid=MLA658347977&amp;sid=search" display="https://www.mercadolibre.com.ar/ruleman-mr-106-zz-6x10x3-x40-unidades-ms-rodamientos/up/MLAU258016962#polycard_client=search-desktop&amp;be_origin=backend&amp;overlay_label=not_apply&amp;search_layout=grid&amp;position=4&amp;type=product&amp;tracking_id=14f5bd5c-69ab-4c25-bb31-1ec8ffe1d15d&amp;wid=MLA658347977&amp;sid=search" xr:uid="{66F7BA76-846F-4256-B604-8717D2A3F2A8}"/>
    <hyperlink ref="L9" r:id="rId7" location="polycard_client=search-desktop&amp;be_origin=backend&amp;overlay_label=not_apply&amp;search_layout=grid&amp;position=1&amp;type=product&amp;tracking_id=ed0be97f-0c39-45ed-a2ef-c12844845d1e&amp;wid=MLA2529309136&amp;sid=search" display="https://www.mercadolibre.com.ar/nodemcu-esp32-c3-supermini-wifi-bluetooth-50-usb-c-iot-16-pines-compatible-arduino/p/MLA61634225#polycard_client=search-desktop&amp;be_origin=backend&amp;overlay_label=not_apply&amp;search_layout=grid&amp;position=1&amp;type=product&amp;tracking_id=ed0be97f-0c39-45ed-a2ef-c12844845d1e&amp;wid=MLA2529309136&amp;sid=search" xr:uid="{22E11733-25A6-4853-9A92-367FF8E4EAEF}"/>
    <hyperlink ref="L25" r:id="rId8" xr:uid="{B76D545C-659D-434B-8886-3FC028F6DED2}"/>
    <hyperlink ref="L4" r:id="rId9" xr:uid="{EEE7D058-F0ED-4766-83DE-EDB8244D3101}"/>
    <hyperlink ref="L13" r:id="rId10" location="polycard_client=cart_list&amp;wid=MLA770743716&amp;sid=cart" xr:uid="{7AA804D6-6861-435D-89AD-97407C856DC0}"/>
    <hyperlink ref="L12" r:id="rId11" location="polycard_client=recommendations_pdp-p2p&amp;reco_backend=ranker_compl&amp;reco_model=rk_ctr_v1_retsys_comple_tpt&amp;reco_client=pdp-p2p&amp;reco_item_pos=0&amp;reco_backend_type=low_level&amp;reco_id=c897dc69-3fc8-4c4d-82e0-008478e66f9f&amp;wid=MLA1829673904&amp;sid=recos" display="https://www.mercadolibre.com.ar/multiplexor-analogico-16-canales-74hc4067/up/MLAU397549426#polycard_client=recommendations_pdp-p2p&amp;reco_backend=ranker_compl&amp;reco_model=rk_ctr_v1_retsys_comple_tpt&amp;reco_client=pdp-p2p&amp;reco_item_pos=0&amp;reco_backend_type=low_level&amp;reco_id=c897dc69-3fc8-4c4d-82e0-008478e66f9f&amp;wid=MLA1829673904&amp;sid=recos" xr:uid="{40FED7A3-8B15-467B-B965-407F1E6CD67B}"/>
    <hyperlink ref="L11" r:id="rId12" xr:uid="{551B84A1-D18F-4E59-977D-04C1425F107F}"/>
    <hyperlink ref="L19" r:id="rId13" xr:uid="{CE63E399-7241-4BD5-B556-B771A617A53C}"/>
    <hyperlink ref="L20" r:id="rId14" xr:uid="{B01DEA67-6478-4B04-A684-A8716AE51305}"/>
    <hyperlink ref="L22" r:id="rId15" xr:uid="{081DCC07-633E-4E6A-9E86-A2928BE69B23}"/>
    <hyperlink ref="L21" r:id="rId16" xr:uid="{5FA2B442-9E75-49B2-AE11-AD225D09D219}"/>
  </hyperlinks>
  <pageMargins left="0.7" right="0.7" top="0.75" bottom="0.75" header="0.3" footer="0.3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FAFB1-434E-459F-B827-764A490CA0B1}">
  <dimension ref="A1:A10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7.85546875" customWidth="1"/>
  </cols>
  <sheetData>
    <row r="1" spans="1:1" x14ac:dyDescent="0.25">
      <c r="A1" s="8" t="s">
        <v>49</v>
      </c>
    </row>
    <row r="2" spans="1:1" x14ac:dyDescent="0.25">
      <c r="A2" s="9" t="s">
        <v>50</v>
      </c>
    </row>
    <row r="3" spans="1:1" x14ac:dyDescent="0.25">
      <c r="A3" s="9" t="s">
        <v>51</v>
      </c>
    </row>
    <row r="4" spans="1:1" x14ac:dyDescent="0.25">
      <c r="A4" s="9" t="s">
        <v>52</v>
      </c>
    </row>
    <row r="5" spans="1:1" x14ac:dyDescent="0.25">
      <c r="A5" s="9" t="s">
        <v>53</v>
      </c>
    </row>
    <row r="6" spans="1:1" x14ac:dyDescent="0.25">
      <c r="A6" s="10" t="s">
        <v>54</v>
      </c>
    </row>
    <row r="7" spans="1:1" x14ac:dyDescent="0.25">
      <c r="A7" s="9" t="s">
        <v>55</v>
      </c>
    </row>
    <row r="8" spans="1:1" x14ac:dyDescent="0.25">
      <c r="A8" s="10" t="s">
        <v>56</v>
      </c>
    </row>
    <row r="9" spans="1:1" x14ac:dyDescent="0.25">
      <c r="A9" s="9" t="s">
        <v>57</v>
      </c>
    </row>
    <row r="10" spans="1:1" x14ac:dyDescent="0.25">
      <c r="A10" s="9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materiales</vt:lpstr>
      <vt:lpstr>Herramientas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mayra grassi</dc:creator>
  <cp:keywords/>
  <dc:description/>
  <cp:lastModifiedBy>thomas galindrez</cp:lastModifiedBy>
  <cp:revision/>
  <dcterms:created xsi:type="dcterms:W3CDTF">2026-08-02T12:34:26Z</dcterms:created>
  <dcterms:modified xsi:type="dcterms:W3CDTF">2026-09-06T02:41:49Z</dcterms:modified>
  <cp:category/>
  <cp:contentStatus/>
</cp:coreProperties>
</file>