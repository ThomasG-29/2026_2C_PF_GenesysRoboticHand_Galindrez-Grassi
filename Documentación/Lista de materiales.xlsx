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e0d3ee9d6c356765/Facultad/14vo Cuatrimestre/Proyecto en Ingeniería Mecatrónica/"/>
    </mc:Choice>
  </mc:AlternateContent>
  <xr:revisionPtr revIDLastSave="73" documentId="13_ncr:1_{20DAA459-3967-4EBB-9D0F-2B9D0B6CF10E}" xr6:coauthVersionLast="47" xr6:coauthVersionMax="47" xr10:uidLastSave="{8C98624C-008A-42FB-B551-A1636497520D}"/>
  <bookViews>
    <workbookView xWindow="-108" yWindow="-108" windowWidth="23256" windowHeight="12456" xr2:uid="{CF8D16FB-75F0-4AF8-A0B9-2B3A678551D6}"/>
  </bookViews>
  <sheets>
    <sheet name="Lista de materiales" sheetId="1" r:id="rId1"/>
    <sheet name="Herramient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1" l="1"/>
  <c r="I17" i="1"/>
  <c r="J18" i="1"/>
  <c r="I4" i="1"/>
  <c r="I5" i="1"/>
  <c r="I6" i="1"/>
  <c r="I7" i="1"/>
  <c r="I8" i="1"/>
  <c r="I9" i="1"/>
  <c r="I10" i="1"/>
  <c r="I11" i="1"/>
  <c r="I12" i="1"/>
  <c r="I13" i="1"/>
  <c r="I14" i="1"/>
  <c r="I15" i="1"/>
  <c r="I3" i="1"/>
  <c r="I18" i="1" s="1"/>
  <c r="F5" i="1"/>
</calcChain>
</file>

<file path=xl/sharedStrings.xml><?xml version="1.0" encoding="utf-8"?>
<sst xmlns="http://schemas.openxmlformats.org/spreadsheetml/2006/main" count="65" uniqueCount="64">
  <si>
    <t>LISTA DE MATERIALES</t>
  </si>
  <si>
    <t>Item</t>
  </si>
  <si>
    <t>Cantidad</t>
  </si>
  <si>
    <t>Marca</t>
  </si>
  <si>
    <t>modelo</t>
  </si>
  <si>
    <t>Material</t>
  </si>
  <si>
    <t>peso (gr)</t>
  </si>
  <si>
    <t>Dimensiones (mm)</t>
  </si>
  <si>
    <t>Precio unit(ARS)</t>
  </si>
  <si>
    <t>Precio total</t>
  </si>
  <si>
    <t>Link</t>
  </si>
  <si>
    <t>Servomotor dedos</t>
  </si>
  <si>
    <t>Towerpro</t>
  </si>
  <si>
    <t>Mini Servo Mg90s</t>
  </si>
  <si>
    <t>Plastico y metal</t>
  </si>
  <si>
    <t>31 x 11 x 31</t>
  </si>
  <si>
    <t>https://www.mercadolibre.com.ar/mini-servo-mg90s-18kg-torque-desarrollo-domotica/up/MLAU132173611#polycard_client=recommendations_pdp-v2p&amp;reco_backend=ranker_retrieval_online_vpp_v2p&amp;reco_model=coldstart_low_exposition&amp;reco_client=pdp-v2p&amp;reco_item_pos=1&amp;reco_backend_type=low_level&amp;reco_id=f1265352-5a3d-40b6-97e7-f8e78d83e0d2&amp;wid=MLA818533077&amp;sid=recos</t>
  </si>
  <si>
    <t>Servomotor muñeca y base</t>
  </si>
  <si>
    <t>Futaba</t>
  </si>
  <si>
    <t xml:space="preserve"> Mg996</t>
  </si>
  <si>
    <t>Plastico</t>
  </si>
  <si>
    <t>40 x 20 x 37</t>
  </si>
  <si>
    <t>https://www.mercadolibre.com.ar/servo-digital-mg996-mg996r-torque-12kg-engranajes-metalicos/p/MLA27411489#polycard_client=search-desktop&amp;be_origin=backend&amp;overlay_label=not_apply&amp;search_layout=grid&amp;position=1&amp;type=product&amp;tracking_id=fc52ef5a-4125-4a33-8ce0-49049b140abb&amp;wid=MLA2026671428&amp;sid=search</t>
  </si>
  <si>
    <t>Sensores flex (x 5)</t>
  </si>
  <si>
    <t>Generico</t>
  </si>
  <si>
    <t>ABS</t>
  </si>
  <si>
    <t>80 x 50 x 50</t>
  </si>
  <si>
    <t>https://www.mercadolibre.com.ar/sensor-de-flexion-5x-de-22-pulgadas-para-manipulador-electr/p/MLA2073926990?pdp_filters=item_id:MLA2558058784&amp;sid=purchases</t>
  </si>
  <si>
    <t>Guante</t>
  </si>
  <si>
    <t>Soga Cabo Dyneema 2 mm</t>
  </si>
  <si>
    <t>Dyneema</t>
  </si>
  <si>
    <t>Spectron 2 mm</t>
  </si>
  <si>
    <t>2x L necesario</t>
  </si>
  <si>
    <t>https://www.mercadolibre.com.ar/cuerda-soga-cabo-dyneema-spectron-2mm-pre-estirado-nautico/up/MLAU2570316529#polycard_client=search-desktop&amp;be_origin=backend&amp;overlay_label=not_apply&amp;search_layout=grid&amp;position=1&amp;type=product&amp;tracking_id=c7f707f6-bb2f-4238-9349-f662d2541884&amp;wid=MLA1944731320&amp;sid=search</t>
  </si>
  <si>
    <t>Microcontrolador</t>
  </si>
  <si>
    <t>ESP32</t>
  </si>
  <si>
    <t>PCB</t>
  </si>
  <si>
    <t>28 x 55 x 12</t>
  </si>
  <si>
    <t>https://www.mercadolibre.com.ar/nodemcu-esp32-38-pines-usb-c-wifi-bluetooth-placa-desarrollo-iot-compatible-arduino/p/MLA42485623?pdp_filters=item_id:MLA1962630270#polycard_client=recommendations_vip-pads-right&amp;wid=MLA1962630270&amp;sid=recos&amp;reco_backend=pads_ranker_entity_v2_retrieval_system_vip_pads_up&amp;reco_model=fallback_productos-promocionados&amp;reco_client=vip-pads-right&amp;reco_item_pos=0&amp;reco_backend_type=low_level&amp;reco_id=7f744700-a38c-43fd-b3fd-2268197b12e2&amp;is_advertising=true&amp;ad_domain=VIPCORE_RIGHT&amp;ad_position=1&amp;ad_click_id=ZmNjMWY2ODEtZGZjYS00NzU2LWFjY2ItNDU4YjRkZmIxYzE5</t>
  </si>
  <si>
    <t>Controlador de servos</t>
  </si>
  <si>
    <t>PCA9685</t>
  </si>
  <si>
    <t>62,5 x 25,4 x 12</t>
  </si>
  <si>
    <t>https://www.mercadolibre.com.ar/controlador-servos-16-canales-i2c-pca9685-pwm-arduino-candy/up/MLAU270638199#polycard_client=search-desktop&amp;be_origin=backend&amp;overlay_label=not_apply&amp;search_layout=grid&amp;position=5&amp;type=product&amp;tracking_id=31bd9f6f-895f-48a1-ad2e-dace4dd81418&amp;wid=MLA732101732&amp;sid=search</t>
  </si>
  <si>
    <t>Batería LiPo</t>
  </si>
  <si>
    <t>Cables</t>
  </si>
  <si>
    <t>Tornillos y tuercas</t>
  </si>
  <si>
    <t>Estructura impresa</t>
  </si>
  <si>
    <t xml:space="preserve">Fuente alimentacion </t>
  </si>
  <si>
    <t>Rodamientos MR106 zz</t>
  </si>
  <si>
    <t>MR 106</t>
  </si>
  <si>
    <t>6x10x3</t>
  </si>
  <si>
    <t>https://www.mercadolibre.com.ar/ruleman-mr-106-zz-6x10x3-x40-unidades-ms-rodamientos/up/MLAU258016962#polycard_client=search-desktop&amp;be_origin=backend&amp;overlay_label=not_apply&amp;search_layout=grid&amp;position=4&amp;type=product&amp;tracking_id=14f5bd5c-69ab-4c25-bb31-1ec8ffe1d15d&amp;wid=MLA658347977&amp;sid=search</t>
  </si>
  <si>
    <t>Rsistencias</t>
  </si>
  <si>
    <t>Total</t>
  </si>
  <si>
    <t>Herramientas</t>
  </si>
  <si>
    <t>Impresora 3D</t>
  </si>
  <si>
    <t>Soldador</t>
  </si>
  <si>
    <t>Multímetro</t>
  </si>
  <si>
    <t>Destornillador</t>
  </si>
  <si>
    <t>Cinta aisladora</t>
  </si>
  <si>
    <t>Fuente alimentacion</t>
  </si>
  <si>
    <t>Pinza</t>
  </si>
  <si>
    <t>Alicate</t>
  </si>
  <si>
    <t>Pegamento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</si>
</sst>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1" applyBorder="1"/>
    <xf numFmtId="0" fontId="1" fillId="0" borderId="1" xfId="1" applyBorder="1" applyAlignment="1"/>
    <xf numFmtId="164" fontId="0" fillId="0" borderId="1" xfId="0" applyNumberFormat="1" applyBorder="1" applyAlignment="1">
      <alignment horizontal="right"/>
    </xf>
    <xf numFmtId="0" fontId="0" fillId="3" borderId="2" xfId="0" applyFill="1" applyBorder="1"/>
    <xf numFmtId="0" fontId="0" fillId="2" borderId="3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3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5" xfId="0" applyBorder="1"/>
    <xf numFmtId="164" fontId="0" fillId="0" borderId="5" xfId="0" applyNumberFormat="1" applyBorder="1" applyAlignment="1">
      <alignment horizontal="righ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2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[$$-2C0A]\ * #,##0.00_-;\-[$$-2C0A]\ * #,##0.00_-;_-[$$-2C0A]\ * &quot;-&quot;??_-;_-@_-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$-2C0A]\ * #,##0.00_-;\-[$$-2C0A]\ * #,##0.00_-;_-[$$-2C0A]\ * &quot;-&quot;??_-;_-@_-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[$$-2C0A]\ * #,##0.00_-;\-[$$-2C0A]\ * #,##0.00_-;_-[$$-2C0A]\ * &quot;-&quot;??_-;_-@_-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rgb="FF000000"/>
        </top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865BB-3179-4BDB-9E43-2EEFD2C35A7F}" name="Tabla1" displayName="Tabla1" ref="A2:J18" totalsRowCount="1" headerRowDxfId="22" headerRowBorderDxfId="20" tableBorderDxfId="21">
  <autoFilter ref="A2:J17" xr:uid="{561865BB-3179-4BDB-9E43-2EEFD2C35A7F}"/>
  <tableColumns count="10">
    <tableColumn id="1" xr3:uid="{B8CCE128-DC4D-4762-9CEC-E57E2F1B4814}" name="Item" totalsRowLabel="Total" dataDxfId="18" totalsRowDxfId="19"/>
    <tableColumn id="2" xr3:uid="{80A7E9C9-8C47-462F-8082-B72DBAA03E79}" name="Cantidad" dataDxfId="16" totalsRowDxfId="17"/>
    <tableColumn id="3" xr3:uid="{249EFD46-3DC7-488A-8FD0-8C90E92D8632}" name="Marca" dataDxfId="14" totalsRowDxfId="15"/>
    <tableColumn id="4" xr3:uid="{D0601849-635F-45D0-B547-40D7AB40B0F5}" name="modelo" dataDxfId="12" totalsRowDxfId="13"/>
    <tableColumn id="5" xr3:uid="{C0873404-3CCA-4D8C-B299-FB964FA29554}" name="Material" dataDxfId="10" totalsRowDxfId="11"/>
    <tableColumn id="6" xr3:uid="{EED691AE-8CD0-4611-AF4A-46AAD5F33496}" name="peso (gr)" dataDxfId="8" totalsRowDxfId="9"/>
    <tableColumn id="7" xr3:uid="{7888705E-69EA-4D0B-BD73-DC3F95B3DC1B}" name="Dimensiones (mm)" dataDxfId="6" totalsRowDxfId="7"/>
    <tableColumn id="8" xr3:uid="{AC346275-888B-44CB-8C0B-2377A4140CCA}" name="Precio unit(ARS)" dataDxfId="4" totalsRowDxfId="5"/>
    <tableColumn id="10" xr3:uid="{A7D737DC-F1C8-45F7-AA9B-ADBD20AF835A}" name="Precio total" totalsRowFunction="sum" dataDxfId="2" totalsRowDxfId="3">
      <calculatedColumnFormula>Tabla1[[#This Row],[Precio unit(ARS)]]*Tabla1[[#This Row],[Cantidad]]</calculatedColumnFormula>
    </tableColumn>
    <tableColumn id="9" xr3:uid="{A6884434-B29D-4C07-8D82-BD5D5D64C4F6}" name="Link" totalsRowFunction="count" dataDxfId="0" totalsRow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mercadolibre.com.ar/sensor-de-flexion-5x-de-22-pulgadas-para-manipulador-electr/p/MLA2073926990?pdp_filters=item_id:MLA2558058784&amp;sid=purchases" TargetMode="External"/><Relationship Id="rId7" Type="http://schemas.openxmlformats.org/officeDocument/2006/relationships/hyperlink" Target="https://www.mercadolibre.com.ar/ruleman-mr-106-zz-6x10x3-x40-unidades-ms-rodamientos/up/MLAU258016962" TargetMode="External"/><Relationship Id="rId2" Type="http://schemas.openxmlformats.org/officeDocument/2006/relationships/hyperlink" Target="https://www.mercadolibre.com.ar/mini-servo-mg90s-18kg-torque-desarrollo-domotica/up/MLAU132173611" TargetMode="External"/><Relationship Id="rId1" Type="http://schemas.openxmlformats.org/officeDocument/2006/relationships/hyperlink" Target="https://www.mercadolibre.com.ar/servo-digital-mg996-mg996r-torque-12kg-engranajes-metalicos/p/MLA27411489" TargetMode="External"/><Relationship Id="rId6" Type="http://schemas.openxmlformats.org/officeDocument/2006/relationships/hyperlink" Target="https://www.mercadolibre.com.ar/cuerda-soga-cabo-dyneema-spectron-2mm-pre-estirado-nautico/up/MLAU2570316529" TargetMode="External"/><Relationship Id="rId5" Type="http://schemas.openxmlformats.org/officeDocument/2006/relationships/hyperlink" Target="https://www.mercadolibre.com.ar/nodemcu-esp32-38-pines-usb-c-wifi-bluetooth-placa-desarrollo-iot-compatible-arduino/p/MLA42485623?pdp_filters=item_id:MLA1962630270" TargetMode="External"/><Relationship Id="rId4" Type="http://schemas.openxmlformats.org/officeDocument/2006/relationships/hyperlink" Target="https://www.mercadolibre.com.ar/controlador-servos-16-canales-i2c-pca9685-pwm-arduino-candy/up/MLAU270638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0836-3388-46C8-A273-6B4EADEAD9CC}">
  <dimension ref="A1:J18"/>
  <sheetViews>
    <sheetView tabSelected="1" zoomScale="115" zoomScaleNormal="115" workbookViewId="0">
      <selection activeCell="B16" sqref="B16"/>
    </sheetView>
  </sheetViews>
  <sheetFormatPr defaultColWidth="11.42578125" defaultRowHeight="14.45"/>
  <cols>
    <col min="1" max="1" width="24.85546875" bestFit="1" customWidth="1"/>
    <col min="4" max="4" width="16.140625" bestFit="1" customWidth="1"/>
    <col min="5" max="5" width="18.28515625" customWidth="1"/>
    <col min="7" max="7" width="20" customWidth="1"/>
    <col min="8" max="9" width="14.28515625" customWidth="1"/>
    <col min="10" max="10" width="255.7109375" bestFit="1" customWidth="1"/>
  </cols>
  <sheetData>
    <row r="1" spans="1:10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2" spans="1:10">
      <c r="A2" s="11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>
      <c r="A3" s="12" t="s">
        <v>11</v>
      </c>
      <c r="B3" s="2">
        <v>10</v>
      </c>
      <c r="C3" s="2" t="s">
        <v>12</v>
      </c>
      <c r="D3" s="3" t="s">
        <v>13</v>
      </c>
      <c r="E3" s="3" t="s">
        <v>14</v>
      </c>
      <c r="F3" s="2">
        <v>16.5</v>
      </c>
      <c r="G3" s="2" t="s">
        <v>15</v>
      </c>
      <c r="H3" s="6">
        <v>8728</v>
      </c>
      <c r="I3" s="6">
        <f>Tabla1[[#This Row],[Precio unit(ARS)]]*Tabla1[[#This Row],[Cantidad]]</f>
        <v>87280</v>
      </c>
      <c r="J3" s="4" t="s">
        <v>16</v>
      </c>
    </row>
    <row r="4" spans="1:10">
      <c r="A4" s="12" t="s">
        <v>17</v>
      </c>
      <c r="B4" s="2">
        <v>2</v>
      </c>
      <c r="C4" s="2" t="s">
        <v>18</v>
      </c>
      <c r="D4" s="3" t="s">
        <v>19</v>
      </c>
      <c r="E4" s="3" t="s">
        <v>20</v>
      </c>
      <c r="F4" s="2">
        <v>55</v>
      </c>
      <c r="G4" s="2" t="s">
        <v>21</v>
      </c>
      <c r="H4" s="6">
        <v>14470</v>
      </c>
      <c r="I4" s="6">
        <f>Tabla1[[#This Row],[Precio unit(ARS)]]*Tabla1[[#This Row],[Cantidad]]</f>
        <v>28940</v>
      </c>
      <c r="J4" s="5" t="s">
        <v>22</v>
      </c>
    </row>
    <row r="5" spans="1:10">
      <c r="A5" s="12" t="s">
        <v>23</v>
      </c>
      <c r="B5" s="2">
        <v>1</v>
      </c>
      <c r="C5" s="2"/>
      <c r="D5" s="3" t="s">
        <v>24</v>
      </c>
      <c r="E5" s="3" t="s">
        <v>25</v>
      </c>
      <c r="F5" s="2">
        <f>90/5</f>
        <v>18</v>
      </c>
      <c r="G5" s="2" t="s">
        <v>26</v>
      </c>
      <c r="H5" s="6">
        <v>65958</v>
      </c>
      <c r="I5" s="6">
        <f>Tabla1[[#This Row],[Precio unit(ARS)]]*Tabla1[[#This Row],[Cantidad]]</f>
        <v>65958</v>
      </c>
      <c r="J5" s="4" t="s">
        <v>27</v>
      </c>
    </row>
    <row r="6" spans="1:10">
      <c r="A6" s="12" t="s">
        <v>28</v>
      </c>
      <c r="B6" s="2">
        <v>1</v>
      </c>
      <c r="C6" s="2"/>
      <c r="D6" s="3"/>
      <c r="E6" s="3"/>
      <c r="F6" s="2"/>
      <c r="G6" s="2"/>
      <c r="H6" s="6"/>
      <c r="I6" s="6">
        <f>Tabla1[[#This Row],[Precio unit(ARS)]]*Tabla1[[#This Row],[Cantidad]]</f>
        <v>0</v>
      </c>
      <c r="J6" s="1"/>
    </row>
    <row r="7" spans="1:10">
      <c r="A7" s="12" t="s">
        <v>29</v>
      </c>
      <c r="B7" s="2">
        <v>6</v>
      </c>
      <c r="C7" s="2" t="s">
        <v>30</v>
      </c>
      <c r="D7" s="3" t="s">
        <v>31</v>
      </c>
      <c r="E7" s="3"/>
      <c r="F7" s="2"/>
      <c r="G7" s="2" t="s">
        <v>32</v>
      </c>
      <c r="H7" s="6">
        <v>4600</v>
      </c>
      <c r="I7" s="6">
        <f>Tabla1[[#This Row],[Precio unit(ARS)]]*Tabla1[[#This Row],[Cantidad]]</f>
        <v>27600</v>
      </c>
      <c r="J7" s="4" t="s">
        <v>33</v>
      </c>
    </row>
    <row r="8" spans="1:10">
      <c r="A8" s="12" t="s">
        <v>34</v>
      </c>
      <c r="B8" s="2">
        <v>1</v>
      </c>
      <c r="C8" s="2"/>
      <c r="D8" s="3" t="s">
        <v>35</v>
      </c>
      <c r="E8" s="3" t="s">
        <v>36</v>
      </c>
      <c r="F8" s="2">
        <v>10</v>
      </c>
      <c r="G8" s="2" t="s">
        <v>37</v>
      </c>
      <c r="H8" s="6">
        <v>15990</v>
      </c>
      <c r="I8" s="6">
        <f>Tabla1[[#This Row],[Precio unit(ARS)]]*Tabla1[[#This Row],[Cantidad]]</f>
        <v>15990</v>
      </c>
      <c r="J8" s="4" t="s">
        <v>38</v>
      </c>
    </row>
    <row r="9" spans="1:10">
      <c r="A9" s="12" t="s">
        <v>39</v>
      </c>
      <c r="B9" s="2">
        <v>1</v>
      </c>
      <c r="C9" s="2"/>
      <c r="D9" s="3" t="s">
        <v>40</v>
      </c>
      <c r="E9" s="3" t="s">
        <v>36</v>
      </c>
      <c r="F9" s="2">
        <v>9</v>
      </c>
      <c r="G9" s="2" t="s">
        <v>41</v>
      </c>
      <c r="H9" s="6">
        <v>9900</v>
      </c>
      <c r="I9" s="6">
        <f>Tabla1[[#This Row],[Precio unit(ARS)]]*Tabla1[[#This Row],[Cantidad]]</f>
        <v>9900</v>
      </c>
      <c r="J9" s="4" t="s">
        <v>42</v>
      </c>
    </row>
    <row r="10" spans="1:10">
      <c r="A10" s="12" t="s">
        <v>43</v>
      </c>
      <c r="B10" s="2"/>
      <c r="C10" s="2"/>
      <c r="D10" s="3"/>
      <c r="E10" s="3"/>
      <c r="F10" s="2"/>
      <c r="G10" s="2"/>
      <c r="H10" s="6"/>
      <c r="I10" s="6">
        <f>Tabla1[[#This Row],[Precio unit(ARS)]]*Tabla1[[#This Row],[Cantidad]]</f>
        <v>0</v>
      </c>
      <c r="J10" s="1"/>
    </row>
    <row r="11" spans="1:10">
      <c r="A11" s="12" t="s">
        <v>44</v>
      </c>
      <c r="B11" s="2"/>
      <c r="C11" s="2"/>
      <c r="D11" s="3"/>
      <c r="E11" s="3"/>
      <c r="F11" s="2"/>
      <c r="G11" s="2"/>
      <c r="H11" s="6"/>
      <c r="I11" s="6">
        <f>Tabla1[[#This Row],[Precio unit(ARS)]]*Tabla1[[#This Row],[Cantidad]]</f>
        <v>0</v>
      </c>
      <c r="J11" s="1"/>
    </row>
    <row r="12" spans="1:10">
      <c r="A12" s="12" t="s">
        <v>45</v>
      </c>
      <c r="B12" s="2"/>
      <c r="C12" s="2"/>
      <c r="D12" s="3"/>
      <c r="E12" s="3"/>
      <c r="F12" s="2"/>
      <c r="G12" s="2"/>
      <c r="H12" s="6"/>
      <c r="I12" s="6">
        <f>Tabla1[[#This Row],[Precio unit(ARS)]]*Tabla1[[#This Row],[Cantidad]]</f>
        <v>0</v>
      </c>
      <c r="J12" s="1"/>
    </row>
    <row r="13" spans="1:10">
      <c r="A13" s="12" t="s">
        <v>46</v>
      </c>
      <c r="B13" s="2">
        <v>1</v>
      </c>
      <c r="C13" s="2"/>
      <c r="D13" s="3"/>
      <c r="E13" s="3"/>
      <c r="F13" s="2"/>
      <c r="G13" s="2"/>
      <c r="H13" s="6"/>
      <c r="I13" s="6">
        <f>Tabla1[[#This Row],[Precio unit(ARS)]]*Tabla1[[#This Row],[Cantidad]]</f>
        <v>0</v>
      </c>
      <c r="J13" s="1"/>
    </row>
    <row r="14" spans="1:10">
      <c r="A14" s="12" t="s">
        <v>47</v>
      </c>
      <c r="B14" s="2">
        <v>1</v>
      </c>
      <c r="C14" s="2"/>
      <c r="D14" s="3"/>
      <c r="E14" s="3"/>
      <c r="F14" s="2"/>
      <c r="G14" s="2"/>
      <c r="H14" s="6"/>
      <c r="I14" s="6">
        <f>Tabla1[[#This Row],[Precio unit(ARS)]]*Tabla1[[#This Row],[Cantidad]]</f>
        <v>0</v>
      </c>
      <c r="J14" s="1"/>
    </row>
    <row r="15" spans="1:10">
      <c r="A15" s="12" t="s">
        <v>48</v>
      </c>
      <c r="B15" s="2">
        <v>45</v>
      </c>
      <c r="C15" s="2"/>
      <c r="D15" s="3" t="s">
        <v>49</v>
      </c>
      <c r="E15" s="3"/>
      <c r="F15" s="2"/>
      <c r="G15" s="2" t="s">
        <v>50</v>
      </c>
      <c r="H15" s="6">
        <v>2160.15</v>
      </c>
      <c r="I15" s="6">
        <f>Tabla1[[#This Row],[Precio unit(ARS)]]*Tabla1[[#This Row],[Cantidad]]</f>
        <v>97206.75</v>
      </c>
      <c r="J15" s="4" t="s">
        <v>51</v>
      </c>
    </row>
    <row r="16" spans="1:10" ht="15">
      <c r="A16" s="12" t="s">
        <v>52</v>
      </c>
      <c r="B16" s="2">
        <v>10</v>
      </c>
      <c r="C16" s="2"/>
      <c r="D16" s="3"/>
      <c r="E16" s="3"/>
      <c r="F16" s="2"/>
      <c r="G16" s="2"/>
      <c r="H16" s="6"/>
      <c r="I16" s="6">
        <f>Tabla1[[#This Row],[Precio unit(ARS)]]*Tabla1[[#This Row],[Cantidad]]</f>
        <v>0</v>
      </c>
      <c r="J16" s="4"/>
    </row>
    <row r="17" spans="1:10">
      <c r="A17" s="13"/>
      <c r="B17" s="14"/>
      <c r="C17" s="14"/>
      <c r="D17" s="15"/>
      <c r="E17" s="15"/>
      <c r="F17" s="14"/>
      <c r="G17" s="14"/>
      <c r="H17" s="17"/>
      <c r="I17" s="17">
        <f>Tabla1[[#This Row],[Precio unit(ARS)]]*Tabla1[[#This Row],[Cantidad]]</f>
        <v>0</v>
      </c>
      <c r="J17" s="16"/>
    </row>
    <row r="18" spans="1:10">
      <c r="A18" s="13" t="s">
        <v>53</v>
      </c>
      <c r="B18" s="14"/>
      <c r="C18" s="14"/>
      <c r="D18" s="15"/>
      <c r="E18" s="15"/>
      <c r="F18" s="14"/>
      <c r="G18" s="14"/>
      <c r="H18" s="14"/>
      <c r="I18" s="17">
        <f>SUBTOTAL(109,Tabla1[Precio total])</f>
        <v>332874.75</v>
      </c>
      <c r="J18" s="16">
        <f>SUBTOTAL(103,Tabla1[Link])</f>
        <v>7</v>
      </c>
    </row>
  </sheetData>
  <mergeCells count="1">
    <mergeCell ref="A1:J1"/>
  </mergeCells>
  <hyperlinks>
    <hyperlink ref="J4" r:id="rId1" location="polycard_client=search-desktop&amp;be_origin=backend&amp;overlay_label=not_apply&amp;search_layout=grid&amp;position=1&amp;type=product&amp;tracking_id=fc52ef5a-4125-4a33-8ce0-49049b140abb&amp;wid=MLA2026671428&amp;sid=search" display="https://www.mercadolibre.com.ar/servo-digital-mg996-mg996r-torque-12kg-engranajes-metalicos/p/MLA27411489#polycard_client=search-desktop&amp;be_origin=backend&amp;overlay_label=not_apply&amp;search_layout=grid&amp;position=1&amp;type=product&amp;tracking_id=fc52ef5a-4125-4a33-8ce0-49049b140abb&amp;wid=MLA2026671428&amp;sid=search" xr:uid="{2F53FB00-E042-422E-B800-4EA7ECDF4A42}"/>
    <hyperlink ref="J3" r:id="rId2" location="polycard_client=recommendations_pdp-v2p&amp;reco_backend=ranker_retrieval_online_vpp_v2p&amp;reco_model=coldstart_low_exposition&amp;reco_client=pdp-v2p&amp;reco_item_pos=1&amp;reco_backend_type=low_level&amp;reco_id=f1265352-5a3d-40b6-97e7-f8e78d83e0d2&amp;wid=MLA818533077&amp;sid=recos" display="https://www.mercadolibre.com.ar/mini-servo-mg90s-18kg-torque-desarrollo-domotica/up/MLAU132173611#polycard_client=recommendations_pdp-v2p&amp;reco_backend=ranker_retrieval_online_vpp_v2p&amp;reco_model=coldstart_low_exposition&amp;reco_client=pdp-v2p&amp;reco_item_pos=1&amp;reco_backend_type=low_level&amp;reco_id=f1265352-5a3d-40b6-97e7-f8e78d83e0d2&amp;wid=MLA818533077&amp;sid=recos" xr:uid="{15FD1A65-0A80-485F-B608-7650B90191F8}"/>
    <hyperlink ref="J5" r:id="rId3" xr:uid="{BC2BD403-8466-4E16-B65B-42CEA605EE61}"/>
    <hyperlink ref="J9" r:id="rId4" location="polycard_client=search-desktop&amp;be_origin=backend&amp;overlay_label=not_apply&amp;search_layout=grid&amp;position=5&amp;type=product&amp;tracking_id=31bd9f6f-895f-48a1-ad2e-dace4dd81418&amp;wid=MLA732101732&amp;sid=search" display="https://www.mercadolibre.com.ar/controlador-servos-16-canales-i2c-pca9685-pwm-arduino-candy/up/MLAU270638199#polycard_client=search-desktop&amp;be_origin=backend&amp;overlay_label=not_apply&amp;search_layout=grid&amp;position=5&amp;type=product&amp;tracking_id=31bd9f6f-895f-48a1-ad2e-dace4dd81418&amp;wid=MLA732101732&amp;sid=search" xr:uid="{496D4867-D49B-489D-A46F-06A04FF60008}"/>
    <hyperlink ref="J8" r:id="rId5" location="polycard_client=recommendations_vip-pads-right&amp;wid=MLA1962630270&amp;sid=recos&amp;reco_backend=pads_ranker_entity_v2_retrieval_system_vip_pads_up&amp;reco_model=fallback_productos-promocionados&amp;reco_client=vip-pads-right&amp;reco_item_pos=0&amp;reco_backend_type=low_level&amp;reco_id=7f744700-a38c-43fd-b3fd-2268197b12e2&amp;is_advertising=true&amp;ad_domain=VIPCORE_RIGHT&amp;ad_position=1&amp;ad_click_id=ZmNjMWY2ODEtZGZjYS00NzU2LWFjY2ItNDU4YjRkZmIxYzE5" display="https://www.mercadolibre.com.ar/nodemcu-esp32-38-pines-usb-c-wifi-bluetooth-placa-desarrollo-iot-compatible-arduino/p/MLA42485623?pdp_filters=item_id:MLA1962630270#polycard_client=recommendations_vip-pads-right&amp;wid=MLA1962630270&amp;sid=recos&amp;reco_backend=pads_ranker_entity_v2_retrieval_system_vip_pads_up&amp;reco_model=fallback_productos-promocionados&amp;reco_client=vip-pads-right&amp;reco_item_pos=0&amp;reco_backend_type=low_level&amp;reco_id=7f744700-a38c-43fd-b3fd-2268197b12e2&amp;is_advertising=true&amp;ad_domain=VIPCORE_RIGHT&amp;ad_position=1&amp;ad_click_id=ZmNjMWY2ODEtZGZjYS00NzU2LWFjY2ItNDU4YjRkZmIxYzE5" xr:uid="{518EBFDD-1D79-45E4-ABF3-17643FED9096}"/>
    <hyperlink ref="J7" r:id="rId6" location="polycard_client=search-desktop&amp;be_origin=backend&amp;overlay_label=not_apply&amp;search_layout=grid&amp;position=1&amp;type=product&amp;tracking_id=c7f707f6-bb2f-4238-9349-f662d2541884&amp;wid=MLA1944731320&amp;sid=search" display="https://www.mercadolibre.com.ar/cuerda-soga-cabo-dyneema-spectron-2mm-pre-estirado-nautico/up/MLAU2570316529#polycard_client=search-desktop&amp;be_origin=backend&amp;overlay_label=not_apply&amp;search_layout=grid&amp;position=1&amp;type=product&amp;tracking_id=c7f707f6-bb2f-4238-9349-f662d2541884&amp;wid=MLA1944731320&amp;sid=search" xr:uid="{DCF88AE3-517D-42AC-8450-8BA926B39FAF}"/>
    <hyperlink ref="J15" r:id="rId7" location="polycard_client=search-desktop&amp;be_origin=backend&amp;overlay_label=not_apply&amp;search_layout=grid&amp;position=4&amp;type=product&amp;tracking_id=14f5bd5c-69ab-4c25-bb31-1ec8ffe1d15d&amp;wid=MLA658347977&amp;sid=search" display="https://www.mercadolibre.com.ar/ruleman-mr-106-zz-6x10x3-x40-unidades-ms-rodamientos/up/MLAU258016962#polycard_client=search-desktop&amp;be_origin=backend&amp;overlay_label=not_apply&amp;search_layout=grid&amp;position=4&amp;type=product&amp;tracking_id=14f5bd5c-69ab-4c25-bb31-1ec8ffe1d15d&amp;wid=MLA658347977&amp;sid=search" xr:uid="{66F7BA76-846F-4256-B604-8717D2A3F2A8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FB1-434E-459F-B827-764A490CA0B1}">
  <dimension ref="A1:A10"/>
  <sheetViews>
    <sheetView workbookViewId="0">
      <selection activeCell="A7" sqref="A7"/>
    </sheetView>
  </sheetViews>
  <sheetFormatPr defaultColWidth="9.140625" defaultRowHeight="14.45"/>
  <cols>
    <col min="1" max="1" width="17.85546875" customWidth="1"/>
  </cols>
  <sheetData>
    <row r="1" spans="1:1">
      <c r="A1" s="8" t="s">
        <v>54</v>
      </c>
    </row>
    <row r="2" spans="1:1">
      <c r="A2" s="9" t="s">
        <v>55</v>
      </c>
    </row>
    <row r="3" spans="1:1">
      <c r="A3" s="9" t="s">
        <v>56</v>
      </c>
    </row>
    <row r="4" spans="1:1">
      <c r="A4" s="9" t="s">
        <v>57</v>
      </c>
    </row>
    <row r="5" spans="1:1">
      <c r="A5" s="9" t="s">
        <v>58</v>
      </c>
    </row>
    <row r="6" spans="1:1">
      <c r="A6" s="10" t="s">
        <v>59</v>
      </c>
    </row>
    <row r="7" spans="1:1">
      <c r="A7" s="9" t="s">
        <v>60</v>
      </c>
    </row>
    <row r="8" spans="1:1">
      <c r="A8" s="10" t="s">
        <v>61</v>
      </c>
    </row>
    <row r="9" spans="1:1">
      <c r="A9" s="9" t="s">
        <v>62</v>
      </c>
    </row>
    <row r="10" spans="1:1">
      <c r="A10" s="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 grassi</dc:creator>
  <cp:keywords/>
  <dc:description/>
  <cp:lastModifiedBy>mayra grassi</cp:lastModifiedBy>
  <cp:revision/>
  <dcterms:created xsi:type="dcterms:W3CDTF">2026-08-02T12:34:26Z</dcterms:created>
  <dcterms:modified xsi:type="dcterms:W3CDTF">2026-08-20T00:45:38Z</dcterms:modified>
  <cp:category/>
  <cp:contentStatus/>
</cp:coreProperties>
</file>